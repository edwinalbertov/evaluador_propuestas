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com-my.sharepoint.com/personal/edwin_vargas_crcom_gov_co/Documents/Documentos/CRC/2026_TSI/contratos/LICENCIAS SUITE ADOBE/1. ETAPA PRECONTRACTUAL/"/>
    </mc:Choice>
  </mc:AlternateContent>
  <xr:revisionPtr revIDLastSave="54" documentId="8_{D2C44F9D-B4E1-4151-BCA2-DFF0B0962342}" xr6:coauthVersionLast="47" xr6:coauthVersionMax="47" xr10:uidLastSave="{FE7A9431-E583-417F-8667-3FA8FFD37161}"/>
  <bookViews>
    <workbookView xWindow="-110" yWindow="-110" windowWidth="19420" windowHeight="10300" xr2:uid="{FA76E2F1-50B2-4B60-AD11-DF055E26BD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D3" i="1"/>
  <c r="D4" i="1"/>
  <c r="D5" i="1"/>
  <c r="D6" i="1"/>
  <c r="D2" i="1"/>
  <c r="E2" i="1"/>
  <c r="E3" i="1"/>
  <c r="E4" i="1"/>
  <c r="E5" i="1"/>
  <c r="E6" i="1"/>
  <c r="L3" i="1" l="1"/>
  <c r="L4" i="1"/>
  <c r="L5" i="1"/>
  <c r="G7" i="1"/>
  <c r="E8" i="1"/>
  <c r="L6" i="1"/>
  <c r="L2" i="1"/>
  <c r="I7" i="1"/>
  <c r="K2" i="1" l="1"/>
  <c r="K3" i="1"/>
  <c r="K4" i="1"/>
  <c r="K5" i="1"/>
  <c r="K6" i="1"/>
</calcChain>
</file>

<file path=xl/sharedStrings.xml><?xml version="1.0" encoding="utf-8"?>
<sst xmlns="http://schemas.openxmlformats.org/spreadsheetml/2006/main" count="22" uniqueCount="22">
  <si>
    <t xml:space="preserve">Nombre proponente </t>
  </si>
  <si>
    <t>Cantidad</t>
  </si>
  <si>
    <t>ROYAL TECH GROUP SAS</t>
  </si>
  <si>
    <t>* Inconsistencia: total=$28.104.106</t>
  </si>
  <si>
    <t>Vo, es la variación de la oferta del proveedor con respecto al precio
estimado por la Entidad Estatal</t>
  </si>
  <si>
    <t>P es el precio estimado por la entidad estatal</t>
  </si>
  <si>
    <t>o es el precio ofrecido por el proponente</t>
  </si>
  <si>
    <t>Menor precio</t>
  </si>
  <si>
    <t>Evaluación Técnica</t>
  </si>
  <si>
    <t>unitario</t>
  </si>
  <si>
    <t>total</t>
  </si>
  <si>
    <t>Verificacion</t>
  </si>
  <si>
    <t>MEDIANA</t>
  </si>
  <si>
    <t>DESVIACIÓN</t>
  </si>
  <si>
    <t>MIN ACEPTABLE</t>
  </si>
  <si>
    <t>ARTI BAJA</t>
  </si>
  <si>
    <t>rank</t>
  </si>
  <si>
    <t>Megacad Ingeniería y Sistemas SAS</t>
  </si>
  <si>
    <t>PORTATIL SAS</t>
  </si>
  <si>
    <t>CREAR IMAGEN DISEÑO WEB Y MULTIMEDIA S.A.S</t>
  </si>
  <si>
    <t xml:space="preserve">GOLD SYS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</si>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</sst>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_-* #,##0.00_-;\-* #,##0.00_-;_-* &quot;-&quot;??_-;_-@"/>
    <numFmt numFmtId="165" formatCode="&quot;$&quot;\ #,##0.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Calibri"/>
    </font>
    <font>
      <b/>
      <sz val="10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4" fontId="5" fillId="0" borderId="4" xfId="0" applyNumberFormat="1" applyFont="1" applyBorder="1"/>
    <xf numFmtId="0" fontId="6" fillId="0" borderId="5" xfId="0" applyFont="1" applyBorder="1" applyAlignment="1">
      <alignment horizontal="left" vertical="center"/>
    </xf>
    <xf numFmtId="0" fontId="2" fillId="2" borderId="2" xfId="0" applyFont="1" applyFill="1" applyBorder="1" applyAlignment="1">
      <alignment vertical="center" wrapText="1"/>
    </xf>
    <xf numFmtId="6" fontId="5" fillId="0" borderId="2" xfId="0" applyNumberFormat="1" applyFont="1" applyBorder="1" applyAlignment="1">
      <alignment vertical="center"/>
    </xf>
    <xf numFmtId="0" fontId="0" fillId="0" borderId="0" xfId="0" applyAlignment="1">
      <alignment wrapText="1"/>
    </xf>
    <xf numFmtId="2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0" fillId="5" borderId="0" xfId="0" applyFill="1"/>
    <xf numFmtId="0" fontId="7" fillId="0" borderId="5" xfId="0" applyFont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164" fontId="8" fillId="3" borderId="3" xfId="0" applyNumberFormat="1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165" fontId="3" fillId="2" borderId="7" xfId="0" applyNumberFormat="1" applyFont="1" applyFill="1" applyBorder="1" applyAlignment="1">
      <alignment horizontal="center" vertical="center" wrapText="1"/>
    </xf>
    <xf numFmtId="165" fontId="4" fillId="4" borderId="7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 wrapText="1"/>
    </xf>
    <xf numFmtId="165" fontId="4" fillId="4" borderId="0" xfId="0" applyNumberFormat="1" applyFont="1" applyFill="1" applyAlignment="1">
      <alignment horizontal="center" vertical="center"/>
    </xf>
    <xf numFmtId="0" fontId="11" fillId="0" borderId="0" xfId="0" applyFont="1"/>
    <xf numFmtId="0" fontId="10" fillId="0" borderId="1" xfId="0" applyFont="1" applyBorder="1" applyAlignment="1">
      <alignment vertical="center"/>
    </xf>
    <xf numFmtId="0" fontId="12" fillId="0" borderId="0" xfId="0" applyFont="1"/>
    <xf numFmtId="165" fontId="1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FA9E-220E-4BE8-B0E8-28763F89CC62}">
  <dimension ref="A1:M12"/>
  <sheetViews>
    <sheetView tabSelected="1" zoomScale="80" zoomScaleNormal="80" workbookViewId="0">
      <selection activeCell="A2" sqref="A2:A6"/>
    </sheetView>
  </sheetViews>
  <sheetFormatPr baseColWidth="10" defaultRowHeight="14.5" x14ac:dyDescent="0.35"/>
  <cols>
    <col min="2" max="2" width="55.1796875" customWidth="1"/>
    <col min="3" max="3" width="19.1796875" customWidth="1"/>
    <col min="4" max="4" width="22.453125" customWidth="1"/>
    <col min="5" max="5" width="28" customWidth="1"/>
    <col min="6" max="8" width="29.7265625" customWidth="1"/>
    <col min="9" max="9" width="26.26953125" customWidth="1"/>
    <col min="10" max="10" width="14.36328125" customWidth="1"/>
    <col min="11" max="11" width="20.54296875" bestFit="1" customWidth="1"/>
    <col min="12" max="12" width="16" customWidth="1"/>
    <col min="13" max="13" width="18.81640625" bestFit="1" customWidth="1"/>
  </cols>
  <sheetData>
    <row r="1" spans="1:13" ht="29" x14ac:dyDescent="0.35">
      <c r="A1" s="1" t="s">
        <v>21</v>
      </c>
      <c r="B1" s="1" t="s">
        <v>0</v>
      </c>
      <c r="C1" s="6" t="s">
        <v>9</v>
      </c>
      <c r="D1" s="6" t="s">
        <v>10</v>
      </c>
      <c r="E1" s="6" t="s">
        <v>11</v>
      </c>
      <c r="F1" s="2" t="s">
        <v>1</v>
      </c>
      <c r="G1" s="19" t="s">
        <v>12</v>
      </c>
      <c r="H1" s="22" t="s">
        <v>13</v>
      </c>
      <c r="I1" s="18" t="s">
        <v>14</v>
      </c>
      <c r="J1" s="17" t="s">
        <v>8</v>
      </c>
      <c r="K1" s="16" t="s">
        <v>15</v>
      </c>
      <c r="L1" s="14" t="s">
        <v>7</v>
      </c>
      <c r="M1" s="14" t="s">
        <v>16</v>
      </c>
    </row>
    <row r="2" spans="1:13" x14ac:dyDescent="0.35">
      <c r="A2">
        <v>1</v>
      </c>
      <c r="B2" s="24" t="s">
        <v>17</v>
      </c>
      <c r="C2" s="27">
        <v>4436000</v>
      </c>
      <c r="D2" s="27">
        <f>C2</f>
        <v>4436000</v>
      </c>
      <c r="E2" s="7">
        <f>C2*F2</f>
        <v>4436000</v>
      </c>
      <c r="F2" s="3">
        <v>1</v>
      </c>
      <c r="G2" s="20"/>
      <c r="H2" s="20"/>
      <c r="I2" s="20"/>
      <c r="J2" s="4"/>
      <c r="K2" s="5" t="str">
        <f>IF(D2&lt;$I$7,"SI","NO")</f>
        <v>NO</v>
      </c>
      <c r="L2" s="15" t="str">
        <f>IF(MIN($D$2:$D$6)=E2,"Si","No")</f>
        <v>No</v>
      </c>
    </row>
    <row r="3" spans="1:13" x14ac:dyDescent="0.35">
      <c r="A3">
        <v>2</v>
      </c>
      <c r="B3" s="25" t="s">
        <v>20</v>
      </c>
      <c r="C3" s="27">
        <v>4297000</v>
      </c>
      <c r="D3" s="27">
        <f t="shared" ref="D3:D6" si="0">C3</f>
        <v>4297000</v>
      </c>
      <c r="E3" s="7">
        <f>C3*F3</f>
        <v>4297000</v>
      </c>
      <c r="F3" s="3">
        <v>1</v>
      </c>
      <c r="G3" s="21"/>
      <c r="H3" s="21"/>
      <c r="I3" s="21"/>
      <c r="J3" s="4"/>
      <c r="K3" s="5" t="str">
        <f>IF(D3&lt;$I$7,"SI","NO")</f>
        <v>NO</v>
      </c>
      <c r="L3" s="15" t="str">
        <f>IF(MIN($D$2:$D$6)=E3,"Si","No")</f>
        <v>No</v>
      </c>
      <c r="M3">
        <v>5</v>
      </c>
    </row>
    <row r="4" spans="1:13" x14ac:dyDescent="0.35">
      <c r="A4">
        <v>3</v>
      </c>
      <c r="B4" s="25" t="s">
        <v>19</v>
      </c>
      <c r="C4" s="27">
        <v>4081000</v>
      </c>
      <c r="D4" s="27">
        <f t="shared" si="0"/>
        <v>4081000</v>
      </c>
      <c r="E4" s="7">
        <f>C4*F4</f>
        <v>4081000</v>
      </c>
      <c r="F4" s="3">
        <v>1</v>
      </c>
      <c r="G4" s="21"/>
      <c r="H4" s="21"/>
      <c r="I4" s="21"/>
      <c r="J4" s="4"/>
      <c r="K4" s="5" t="str">
        <f>IF(D4&lt;$I$7,"SI","NO")</f>
        <v>NO</v>
      </c>
      <c r="L4" s="15" t="str">
        <f>IF(MIN($D$2:$D$6)=E4,"Si","No")</f>
        <v>No</v>
      </c>
    </row>
    <row r="5" spans="1:13" x14ac:dyDescent="0.35">
      <c r="A5">
        <v>4</v>
      </c>
      <c r="B5" s="26" t="s">
        <v>18</v>
      </c>
      <c r="C5" s="27">
        <v>4055243.4</v>
      </c>
      <c r="D5" s="27">
        <f t="shared" si="0"/>
        <v>4055243.4</v>
      </c>
      <c r="E5" s="7">
        <f>C5*F5</f>
        <v>4055243.4</v>
      </c>
      <c r="F5" s="3">
        <v>1</v>
      </c>
      <c r="G5" s="21"/>
      <c r="H5" s="21"/>
      <c r="I5" s="21"/>
      <c r="J5" s="4"/>
      <c r="K5" s="13" t="str">
        <f>IF(D5&lt;$I$7,"SI","NO")</f>
        <v>NO</v>
      </c>
      <c r="L5" s="15" t="str">
        <f>IF(MIN($D$2:$D$6)=E5,"Si","No")</f>
        <v>No</v>
      </c>
      <c r="M5">
        <v>4</v>
      </c>
    </row>
    <row r="6" spans="1:13" x14ac:dyDescent="0.35">
      <c r="A6">
        <v>5</v>
      </c>
      <c r="B6" s="25" t="s">
        <v>2</v>
      </c>
      <c r="C6" s="27">
        <v>3951351</v>
      </c>
      <c r="D6" s="27">
        <f t="shared" si="0"/>
        <v>3951351</v>
      </c>
      <c r="E6" s="7">
        <f>C6*F6</f>
        <v>3951351</v>
      </c>
      <c r="F6" s="3">
        <v>1</v>
      </c>
      <c r="G6" s="21"/>
      <c r="H6" s="21"/>
      <c r="I6" s="21"/>
      <c r="J6" s="4"/>
      <c r="K6" s="5" t="str">
        <f>IF(D6&lt;$I$7,"SI","NO")</f>
        <v>NO</v>
      </c>
      <c r="L6" s="15" t="str">
        <f>IF(MIN($D$2:$D$6)=E6,"Si","No")</f>
        <v>Si</v>
      </c>
    </row>
    <row r="7" spans="1:13" x14ac:dyDescent="0.35">
      <c r="G7" s="20">
        <f>MEDIAN(D2:D6)</f>
        <v>4081000</v>
      </c>
      <c r="H7" s="23">
        <f>_xlfn.STDEV.P(D2:D6)</f>
        <v>176414.01564631311</v>
      </c>
      <c r="I7" s="23">
        <f>G7-H7</f>
        <v>3904585.9843536867</v>
      </c>
    </row>
    <row r="8" spans="1:13" ht="87" x14ac:dyDescent="0.35">
      <c r="D8" s="8" t="s">
        <v>4</v>
      </c>
      <c r="E8" s="9">
        <f>_xlfn.VAR.P(D2:D6)</f>
        <v>31121904916.457603</v>
      </c>
    </row>
    <row r="9" spans="1:13" x14ac:dyDescent="0.35">
      <c r="D9" s="10" t="s">
        <v>5</v>
      </c>
      <c r="E9" s="11">
        <v>31414588</v>
      </c>
    </row>
    <row r="10" spans="1:13" x14ac:dyDescent="0.35">
      <c r="B10" t="s">
        <v>3</v>
      </c>
      <c r="D10" t="s">
        <v>6</v>
      </c>
    </row>
    <row r="12" spans="1:13" x14ac:dyDescent="0.35">
      <c r="D12" s="12"/>
    </row>
  </sheetData>
  <pageMargins left="0.7" right="0.7" top="0.75" bottom="0.75" header="0.3" footer="0.3"/>
  <headerFooter>
    <oddHeader>&amp;R&amp;"Calibri"&amp;10&amp;KFF0000 Información pública&amp;1#_x000D_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Alberto Vargas Antolínez</dc:creator>
  <cp:lastModifiedBy>Edwin Alberto Vargas Antolínez</cp:lastModifiedBy>
  <dcterms:created xsi:type="dcterms:W3CDTF">2025-02-05T21:18:47Z</dcterms:created>
  <dcterms:modified xsi:type="dcterms:W3CDTF">2026-02-20T13:34:01Z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9276b6-75f1-4620-a6a2-153244a3486e_Enabled">
    <vt:lpwstr>true</vt:lpwstr>
  </property>
  <property fmtid="{D5CDD505-2E9C-101B-9397-08002B2CF9AE}" pid="3" name="MSIP_Label_7c9276b6-75f1-4620-a6a2-153244a3486e_SetDate">
    <vt:lpwstr>2025-02-05T21:35:51Z</vt:lpwstr>
  </property>
  <property fmtid="{D5CDD505-2E9C-101B-9397-08002B2CF9AE}" pid="4" name="MSIP_Label_7c9276b6-75f1-4620-a6a2-153244a3486e_Method">
    <vt:lpwstr>Privileged</vt:lpwstr>
  </property>
  <property fmtid="{D5CDD505-2E9C-101B-9397-08002B2CF9AE}" pid="5" name="MSIP_Label_7c9276b6-75f1-4620-a6a2-153244a3486e_Name">
    <vt:lpwstr>Pru_Pública</vt:lpwstr>
  </property>
  <property fmtid="{D5CDD505-2E9C-101B-9397-08002B2CF9AE}" pid="6" name="MSIP_Label_7c9276b6-75f1-4620-a6a2-153244a3486e_SiteId">
    <vt:lpwstr>2cdab013-7b2d-4428-b384-326c870248c1</vt:lpwstr>
  </property>
  <property fmtid="{D5CDD505-2E9C-101B-9397-08002B2CF9AE}" pid="7" name="MSIP_Label_7c9276b6-75f1-4620-a6a2-153244a3486e_ActionId">
    <vt:lpwstr>e5a42c3a-679e-49b3-8c67-aa3828bdd223</vt:lpwstr>
  </property>
  <property fmtid="{D5CDD505-2E9C-101B-9397-08002B2CF9AE}" pid="8" name="MSIP_Label_7c9276b6-75f1-4620-a6a2-153244a3486e_ContentBits">
    <vt:lpwstr>1</vt:lpwstr>
  </property>
</Properties>
</file>